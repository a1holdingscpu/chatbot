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Scenario Breakdown" sheetId="2" state="visible" r:id="rId2"/>
    <sheet xmlns:r="http://schemas.openxmlformats.org/officeDocument/2006/relationships" name="Performance Metrics" sheetId="3" state="visible" r:id="rId3"/>
    <sheet xmlns:r="http://schemas.openxmlformats.org/officeDocument/2006/relationships" name="What-If Analysis" sheetId="4" state="visible" r:id="rId4"/>
    <sheet xmlns:r="http://schemas.openxmlformats.org/officeDocument/2006/relationships" name="Risk &amp; Expens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9"/>
    </font>
    <font>
      <b val="1"/>
      <color rgb="00FFFFFF"/>
      <sz val="11"/>
    </font>
    <font>
      <b val="1"/>
    </font>
    <font>
      <b val="1"/>
      <color rgb="00FFFFFF"/>
      <sz val="14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B4C7E7"/>
        <bgColor rgb="00B4C7E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6" fillId="5" borderId="0" pivotButton="0" quotePrefix="0" xfId="0"/>
    <xf numFmtId="164" fontId="0" fillId="6" borderId="1" applyAlignment="1" pivotButton="0" quotePrefix="0" xfId="0">
      <alignment horizontal="right" vertical="center"/>
    </xf>
    <xf numFmtId="10" fontId="0" fillId="3" borderId="1" applyAlignment="1" pivotButton="0" quotePrefix="0" xfId="0">
      <alignment horizontal="right" vertical="center"/>
    </xf>
    <xf numFmtId="0" fontId="3" fillId="2" borderId="0" pivotButton="0" quotePrefix="0" xfId="0"/>
    <xf numFmtId="2" fontId="4" fillId="4" borderId="1" applyAlignment="1" pivotButton="0" quotePrefix="0" xfId="0">
      <alignment horizontal="right" vertical="center"/>
    </xf>
    <xf numFmtId="10" fontId="0" fillId="6" borderId="1" applyAlignment="1" pivotButton="0" quotePrefix="0" xfId="0">
      <alignment horizontal="right" vertical="center"/>
    </xf>
    <xf numFmtId="2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9" fontId="0" fillId="0" borderId="0" pivotButton="0" quotePrefix="0" xfId="0"/>
    <xf numFmtId="166" fontId="0" fillId="6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System</author>
  </authors>
  <commentList>
    <comment ref="B5" authorId="0" shapeId="0">
      <text>
        <t>Enter: 123 Main Street, City, State ZIP</t>
      </text>
    </comment>
    <comment ref="E5" authorId="0" shapeId="0">
      <text>
        <t>Enter: 1995</t>
      </text>
    </comment>
    <comment ref="B6" authorId="0" shapeId="0">
      <text>
        <t>Enter: Single Family / Multi-Family / Condo / etc.</t>
      </text>
    </comment>
    <comment ref="E6" authorId="0" shapeId="0">
      <text>
        <t>Enter: 3</t>
      </text>
    </comment>
    <comment ref="B7" authorId="0" shapeId="0">
      <text>
        <t>Enter: 1500</t>
      </text>
    </comment>
    <comment ref="E7" authorId="0" shapeId="0">
      <text>
        <t>Enter: 2</t>
      </text>
    </comment>
    <comment ref="B8" authorId="0" shapeId="0">
      <text>
        <t>Enter: 0.25 acres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B11" authorId="0" shapeId="0">
      <text>
        <t>DCR &gt; 1.25 is preferred by lenders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REAL ESTATE DEAL ANALYSIS TOOLKIT</t>
        </is>
      </c>
    </row>
    <row r="2" ht="30" customHeight="1">
      <c r="A2" s="2" t="inlineStr">
        <is>
          <t>Instructions: Fill in YELLOW cells with property details. Blue cells auto-calculate. Review all tabs for complete analysis.</t>
        </is>
      </c>
    </row>
    <row r="4">
      <c r="A4" s="3" t="inlineStr">
        <is>
          <t>PROPERTY DETAILS</t>
        </is>
      </c>
    </row>
    <row r="5">
      <c r="A5" t="inlineStr">
        <is>
          <t>Address:</t>
        </is>
      </c>
      <c r="B5" s="4" t="n"/>
      <c r="D5" t="inlineStr">
        <is>
          <t>Year Built:</t>
        </is>
      </c>
      <c r="E5" s="4" t="n"/>
    </row>
    <row r="6">
      <c r="A6" t="inlineStr">
        <is>
          <t>Type:</t>
        </is>
      </c>
      <c r="B6" s="4" t="n"/>
      <c r="D6" t="inlineStr">
        <is>
          <t>Bedrooms:</t>
        </is>
      </c>
      <c r="E6" s="4" t="n"/>
    </row>
    <row r="7">
      <c r="A7" t="inlineStr">
        <is>
          <t>Square Feet:</t>
        </is>
      </c>
      <c r="B7" s="4" t="n"/>
      <c r="D7" t="inlineStr">
        <is>
          <t>Bathrooms:</t>
        </is>
      </c>
      <c r="E7" s="4" t="n"/>
    </row>
    <row r="8">
      <c r="A8" t="inlineStr">
        <is>
          <t>Lot Size:</t>
        </is>
      </c>
      <c r="B8" s="4" t="n"/>
    </row>
    <row r="10">
      <c r="A10" s="3" t="inlineStr">
        <is>
          <t>KEY FINANCIAL INPUTS</t>
        </is>
      </c>
    </row>
    <row r="11">
      <c r="A11" t="inlineStr">
        <is>
          <t>Purchase Price:</t>
        </is>
      </c>
      <c r="B11" s="5" t="n">
        <v>250000</v>
      </c>
      <c r="D11" t="inlineStr">
        <is>
          <t>Monthly Rent:</t>
        </is>
      </c>
      <c r="E11" s="5" t="n">
        <v>2500</v>
      </c>
    </row>
    <row r="12">
      <c r="A12" t="inlineStr">
        <is>
          <t>ARV:</t>
        </is>
      </c>
      <c r="B12" s="5" t="n">
        <v>350000</v>
      </c>
      <c r="D12" t="inlineStr">
        <is>
          <t>Annual Tax:</t>
        </is>
      </c>
      <c r="E12" s="5" t="n">
        <v>3000</v>
      </c>
    </row>
    <row r="13">
      <c r="A13" t="inlineStr">
        <is>
          <t>Rehab Budget:</t>
        </is>
      </c>
      <c r="B13" s="5" t="n">
        <v>50000</v>
      </c>
      <c r="D13" t="inlineStr">
        <is>
          <t>Annual Insurance:</t>
        </is>
      </c>
      <c r="E13" s="5" t="n">
        <v>1200</v>
      </c>
    </row>
    <row r="14">
      <c r="A14" t="inlineStr">
        <is>
          <t>Closing Costs:</t>
        </is>
      </c>
      <c r="B14" s="5" t="n">
        <v>7500</v>
      </c>
      <c r="D14" t="inlineStr">
        <is>
          <t>Monthly HOA:</t>
        </is>
      </c>
      <c r="E14" s="5" t="n">
        <v>0</v>
      </c>
    </row>
    <row r="16">
      <c r="A16" s="3" t="inlineStr">
        <is>
          <t>QUICK SUMMARY METRICS</t>
        </is>
      </c>
    </row>
    <row r="17">
      <c r="A17" s="3" t="inlineStr">
        <is>
          <t>Metric</t>
        </is>
      </c>
      <c r="B17" s="3" t="inlineStr">
        <is>
          <t>Value</t>
        </is>
      </c>
      <c r="C17" s="3" t="inlineStr">
        <is>
          <t>Metric</t>
        </is>
      </c>
      <c r="D17" s="3" t="inlineStr">
        <is>
          <t>Value</t>
        </is>
      </c>
    </row>
    <row r="18">
      <c r="A18" t="inlineStr">
        <is>
          <t>Total Investment:</t>
        </is>
      </c>
      <c r="B18" s="6">
        <f>B11+B13+B14</f>
        <v/>
      </c>
      <c r="C18" t="inlineStr">
        <is>
          <t>Potential Equity:</t>
        </is>
      </c>
      <c r="D18" s="6">
        <f>B12-B18</f>
        <v/>
      </c>
    </row>
    <row r="19">
      <c r="A19" t="inlineStr">
        <is>
          <t>Equity %:</t>
        </is>
      </c>
      <c r="B19" s="7">
        <f>(B12-B18)/B12</f>
        <v/>
      </c>
      <c r="C19" t="inlineStr">
        <is>
          <t>Annual Gross Rent:</t>
        </is>
      </c>
      <c r="D19" s="6">
        <f>E11*12</f>
        <v/>
      </c>
    </row>
    <row r="20">
      <c r="A20" t="inlineStr">
        <is>
          <t>Monthly Gross Yield:</t>
        </is>
      </c>
      <c r="B20" s="8">
        <f>E11/B18</f>
        <v/>
      </c>
      <c r="C20" t="inlineStr">
        <is>
          <t>Est. Cap Rate:</t>
        </is>
      </c>
      <c r="D20" s="8">
        <f>(E11*12-E12-E13-E14*12)/B18</f>
        <v/>
      </c>
    </row>
    <row r="22">
      <c r="A22" s="3" t="inlineStr">
        <is>
          <t>DEAL QUALITY INDICATORS</t>
        </is>
      </c>
    </row>
    <row r="23">
      <c r="A23" t="inlineStr">
        <is>
          <t>Equity Spread:</t>
        </is>
      </c>
      <c r="B23" s="9">
        <f>IF(D18&gt;50000, "EXCELLENT", IF(D18&gt;25000, "GOOD", IF(D18&gt;0, "FAIR", "POOR")))</f>
        <v/>
      </c>
      <c r="C23" t="inlineStr">
        <is>
          <t>Cap Rate:</t>
        </is>
      </c>
      <c r="D23" s="9">
        <f>IF(D20&gt;0.08, "EXCELLENT", IF(D20&gt;0.06, "GOOD", IF(D20&gt;0.04, "FAIR", "POOR")))</f>
        <v/>
      </c>
    </row>
  </sheetData>
  <mergeCells count="6">
    <mergeCell ref="A2:F2"/>
    <mergeCell ref="A16:F16"/>
    <mergeCell ref="A10:F10"/>
    <mergeCell ref="A1:F1"/>
    <mergeCell ref="A22:F22"/>
    <mergeCell ref="A4:F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0" t="inlineStr">
        <is>
          <t>SCENARIO BREAKDOWN - Compare Multiple Exit Strategies</t>
        </is>
      </c>
    </row>
    <row r="2">
      <c r="A2" s="11" t="inlineStr">
        <is>
          <t>Yellow cells = Your Input | Blue cells = Calculated | Compare scenarios side-by-side</t>
        </is>
      </c>
    </row>
    <row r="4">
      <c r="A4" s="3" t="inlineStr">
        <is>
          <t>Input Parameter</t>
        </is>
      </c>
      <c r="B4" s="3" t="inlineStr">
        <is>
          <t>WHOLESALE</t>
        </is>
      </c>
      <c r="C4" s="3" t="inlineStr">
        <is>
          <t>FIX &amp; FLIP</t>
        </is>
      </c>
      <c r="D4" s="3" t="inlineStr">
        <is>
          <t>BUY &amp; HOLD</t>
        </is>
      </c>
      <c r="E4" s="3" t="inlineStr">
        <is>
          <t>SELLER FINANCE</t>
        </is>
      </c>
    </row>
    <row r="5">
      <c r="A5" s="12" t="inlineStr">
        <is>
          <t>ACQUISITION</t>
        </is>
      </c>
    </row>
    <row r="6">
      <c r="A6" t="inlineStr">
        <is>
          <t>Purchase Price</t>
        </is>
      </c>
      <c r="B6" s="13">
        <f>'Deal Overview'!B11</f>
        <v/>
      </c>
      <c r="C6" s="13">
        <f>'Deal Overview'!B11</f>
        <v/>
      </c>
      <c r="D6" s="13">
        <f>'Deal Overview'!B11</f>
        <v/>
      </c>
      <c r="E6" s="13">
        <f>'Deal Overview'!B11</f>
        <v/>
      </c>
    </row>
    <row r="7">
      <c r="A7" t="inlineStr">
        <is>
          <t>ARV</t>
        </is>
      </c>
      <c r="B7" s="13">
        <f>'Deal Overview'!B12</f>
        <v/>
      </c>
      <c r="C7" s="13">
        <f>'Deal Overview'!B12</f>
        <v/>
      </c>
      <c r="D7" s="13">
        <f>'Deal Overview'!B12</f>
        <v/>
      </c>
      <c r="E7" s="13">
        <f>'Deal Overview'!B12</f>
        <v/>
      </c>
    </row>
    <row r="8">
      <c r="A8" t="inlineStr">
        <is>
          <t>Assignment Fee %</t>
        </is>
      </c>
      <c r="B8" s="14" t="n">
        <v>0.05</v>
      </c>
    </row>
    <row r="9">
      <c r="A9" s="12" t="inlineStr"/>
    </row>
    <row r="10">
      <c r="A10" s="12" t="inlineStr">
        <is>
          <t>REHAB &amp; COSTS</t>
        </is>
      </c>
    </row>
    <row r="11">
      <c r="A11" t="inlineStr">
        <is>
          <t>Rehab Budget</t>
        </is>
      </c>
      <c r="B11" s="5" t="n">
        <v>0</v>
      </c>
      <c r="C11" s="13">
        <f>'Deal Overview'!B13</f>
        <v/>
      </c>
      <c r="D11" s="5" t="n">
        <v>10000</v>
      </c>
      <c r="E11" s="5" t="n">
        <v>5000</v>
      </c>
    </row>
    <row r="12">
      <c r="A12" t="inlineStr">
        <is>
          <t>Closing Costs (Buy)</t>
        </is>
      </c>
      <c r="B12" s="5" t="n">
        <v>3000</v>
      </c>
      <c r="C12" s="13">
        <f>'Deal Overview'!B14</f>
        <v/>
      </c>
      <c r="D12" s="13">
        <f>'Deal Overview'!B14</f>
        <v/>
      </c>
      <c r="E12" s="13">
        <f>'Deal Overview'!B14</f>
        <v/>
      </c>
    </row>
    <row r="13">
      <c r="A13" t="inlineStr">
        <is>
          <t>Holding Costs (months)</t>
        </is>
      </c>
      <c r="B13" s="5" t="n">
        <v>0</v>
      </c>
      <c r="C13" s="5" t="n">
        <v>6</v>
      </c>
      <c r="D13" s="5" t="n">
        <v>0</v>
      </c>
      <c r="E13" s="5" t="n">
        <v>0</v>
      </c>
    </row>
    <row r="14">
      <c r="A14" t="inlineStr">
        <is>
          <t>Monthly Holding Cost</t>
        </is>
      </c>
      <c r="B14" s="5" t="n">
        <v>0</v>
      </c>
      <c r="C14" s="5" t="n">
        <v>1500</v>
      </c>
      <c r="D14" s="5" t="n">
        <v>0</v>
      </c>
      <c r="E14" s="5" t="n">
        <v>0</v>
      </c>
    </row>
    <row r="15">
      <c r="A15" t="inlineStr">
        <is>
          <t>Selling Costs %</t>
        </is>
      </c>
      <c r="B15" s="14" t="n">
        <v>0.01</v>
      </c>
      <c r="C15" s="14" t="n">
        <v>0.08</v>
      </c>
      <c r="D15" s="5" t="n">
        <v>0</v>
      </c>
      <c r="E15" s="5" t="n">
        <v>0</v>
      </c>
    </row>
    <row r="16">
      <c r="A16" s="12" t="inlineStr"/>
    </row>
    <row r="17">
      <c r="A17" s="12" t="inlineStr">
        <is>
          <t>FINANCING</t>
        </is>
      </c>
    </row>
    <row r="18">
      <c r="A18" t="inlineStr">
        <is>
          <t>Down Payment %</t>
        </is>
      </c>
      <c r="B18" s="5" t="n">
        <v>0</v>
      </c>
      <c r="C18" s="14" t="n">
        <v>0.2</v>
      </c>
      <c r="D18" s="14" t="n">
        <v>0.25</v>
      </c>
      <c r="E18" s="14" t="n">
        <v>0.1</v>
      </c>
    </row>
    <row r="19">
      <c r="A19" t="inlineStr">
        <is>
          <t>Loan Interest Rate</t>
        </is>
      </c>
      <c r="B19" s="5" t="n">
        <v>0</v>
      </c>
      <c r="C19" s="14" t="n">
        <v>0.075</v>
      </c>
      <c r="D19" s="14" t="n">
        <v>0.07000000000000001</v>
      </c>
      <c r="E19" s="14" t="n">
        <v>0.06</v>
      </c>
    </row>
    <row r="20">
      <c r="A20" t="inlineStr">
        <is>
          <t>Loan Term (years)</t>
        </is>
      </c>
      <c r="B20" s="5" t="n">
        <v>0</v>
      </c>
      <c r="C20" s="14" t="n">
        <v>0.5</v>
      </c>
      <c r="D20" s="5" t="n">
        <v>30</v>
      </c>
      <c r="E20" s="5" t="n">
        <v>15</v>
      </c>
    </row>
    <row r="21">
      <c r="A21" s="12" t="inlineStr"/>
    </row>
    <row r="22">
      <c r="A22" s="12" t="inlineStr">
        <is>
          <t>RENTAL INCOME</t>
        </is>
      </c>
    </row>
    <row r="23">
      <c r="A23" t="inlineStr">
        <is>
          <t>Monthly Rent</t>
        </is>
      </c>
      <c r="B23" s="5" t="n">
        <v>0</v>
      </c>
      <c r="C23" s="5" t="n">
        <v>0</v>
      </c>
      <c r="D23" s="13">
        <f>'Deal Overview'!E11</f>
        <v/>
      </c>
      <c r="E23" s="13">
        <f>'Deal Overview'!E11</f>
        <v/>
      </c>
    </row>
    <row r="24">
      <c r="A24" t="inlineStr">
        <is>
          <t>Vacancy Rate</t>
        </is>
      </c>
      <c r="B24" s="5" t="n">
        <v>0</v>
      </c>
      <c r="C24" s="5" t="n">
        <v>0</v>
      </c>
      <c r="D24" s="14" t="n">
        <v>0.08</v>
      </c>
      <c r="E24" s="14" t="n">
        <v>0.05</v>
      </c>
    </row>
    <row r="25">
      <c r="A25" s="12" t="inlineStr"/>
    </row>
    <row r="26">
      <c r="A26" s="15" t="inlineStr">
        <is>
          <t>CALCULATED RESULTS</t>
        </is>
      </c>
    </row>
    <row r="27">
      <c r="A27" t="inlineStr">
        <is>
          <t>Total Cash Needed</t>
        </is>
      </c>
      <c r="B27" s="6">
        <f>B6+B12+B13</f>
        <v/>
      </c>
      <c r="C27" s="6">
        <f>C6+C12+C13+(C14*C15)</f>
        <v/>
      </c>
      <c r="D27" s="6">
        <f>D6+D12+D13</f>
        <v/>
      </c>
      <c r="E27" s="6">
        <f>E6+E12+E13</f>
        <v/>
      </c>
    </row>
    <row r="28">
      <c r="A28" t="inlineStr">
        <is>
          <t>Loan Amount</t>
        </is>
      </c>
      <c r="B28" s="6">
        <f>0</f>
        <v/>
      </c>
      <c r="C28" s="6">
        <f>C6*(1-C19)</f>
        <v/>
      </c>
      <c r="D28" s="6">
        <f>D6*(1-D19)</f>
        <v/>
      </c>
      <c r="E28" s="6">
        <f>E6*(1-E19)</f>
        <v/>
      </c>
    </row>
    <row r="29">
      <c r="A29" t="inlineStr">
        <is>
          <t>Net Profit/Sale</t>
        </is>
      </c>
      <c r="B29" s="6">
        <f>B7*B8</f>
        <v/>
      </c>
      <c r="C29" s="6">
        <f>(C7-(C12+C14*C15+C7*C16))</f>
        <v/>
      </c>
      <c r="D29" s="6">
        <f>0</f>
        <v/>
      </c>
      <c r="E29" s="6">
        <f>0</f>
        <v/>
      </c>
    </row>
    <row r="30">
      <c r="A30" t="inlineStr">
        <is>
          <t>Annual Cash Flow</t>
        </is>
      </c>
      <c r="B30" s="6">
        <f>0</f>
        <v/>
      </c>
      <c r="C30" s="6">
        <f>0</f>
        <v/>
      </c>
      <c r="D30" s="6">
        <f>(D23*(1-D24)*12)-(D26*12)</f>
        <v/>
      </c>
      <c r="E30" s="6">
        <f>(E23*(1-E24)*12)-(E26*12)</f>
        <v/>
      </c>
    </row>
    <row r="31">
      <c r="A31" t="inlineStr">
        <is>
          <t>Cash-on-Cash Return</t>
        </is>
      </c>
      <c r="B31" s="8">
        <f>B29/B27</f>
        <v/>
      </c>
      <c r="C31" s="8">
        <f>C29/C27</f>
        <v/>
      </c>
      <c r="D31" s="8">
        <f>D30/D27</f>
        <v/>
      </c>
      <c r="E31" s="8">
        <f>E30/E27</f>
        <v/>
      </c>
    </row>
    <row r="32">
      <c r="A32" t="inlineStr">
        <is>
          <t>ROI</t>
        </is>
      </c>
      <c r="B32" s="8">
        <f>B29/B27</f>
        <v/>
      </c>
      <c r="C32" s="8">
        <f>C29/C27</f>
        <v/>
      </c>
      <c r="D32" s="8">
        <f>(D7-D27)/D27</f>
        <v/>
      </c>
      <c r="E32" s="8">
        <f>(E7-E27)/E27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" t="inlineStr">
        <is>
          <t>PERFORMANCE METRICS &amp; EXIT STRATEGY COMPARISON</t>
        </is>
      </c>
    </row>
    <row r="3">
      <c r="A3" s="3" t="inlineStr">
        <is>
          <t>Strategy</t>
        </is>
      </c>
      <c r="B3" s="3" t="inlineStr">
        <is>
          <t>Total Investment</t>
        </is>
      </c>
      <c r="C3" s="3" t="inlineStr">
        <is>
          <t>Net Return</t>
        </is>
      </c>
      <c r="D3" s="3" t="inlineStr">
        <is>
          <t>ROI %</t>
        </is>
      </c>
      <c r="E3" s="3" t="inlineStr">
        <is>
          <t>Timeline</t>
        </is>
      </c>
      <c r="F3" s="3" t="inlineStr">
        <is>
          <t>Risk Level</t>
        </is>
      </c>
    </row>
    <row r="4">
      <c r="A4" t="inlineStr">
        <is>
          <t>Wholesale</t>
        </is>
      </c>
      <c r="B4" s="13">
        <f>'Scenario Breakdown'!B27</f>
        <v/>
      </c>
      <c r="C4" s="13">
        <f>'Scenario Breakdown'!B29</f>
        <v/>
      </c>
      <c r="D4" s="8">
        <f>'Scenario Breakdown'!B31</f>
        <v/>
      </c>
      <c r="E4" t="inlineStr">
        <is>
          <t>0-30 days</t>
        </is>
      </c>
      <c r="F4" t="inlineStr">
        <is>
          <t>Low</t>
        </is>
      </c>
    </row>
    <row r="5">
      <c r="A5" t="inlineStr">
        <is>
          <t>Fix &amp; Flip</t>
        </is>
      </c>
      <c r="B5" s="13">
        <f>'Scenario Breakdown'!C27</f>
        <v/>
      </c>
      <c r="C5" s="13">
        <f>'Scenario Breakdown'!C29</f>
        <v/>
      </c>
      <c r="D5" s="8">
        <f>'Scenario Breakdown'!C31</f>
        <v/>
      </c>
      <c r="E5" t="inlineStr">
        <is>
          <t>3-6 months</t>
        </is>
      </c>
      <c r="F5" t="inlineStr">
        <is>
          <t>Medium</t>
        </is>
      </c>
    </row>
    <row r="6">
      <c r="A6" t="inlineStr">
        <is>
          <t>Buy &amp; Hold</t>
        </is>
      </c>
      <c r="B6" s="13">
        <f>'Scenario Breakdown'!D27</f>
        <v/>
      </c>
      <c r="C6" s="13">
        <f>'Scenario Breakdown'!D30</f>
        <v/>
      </c>
      <c r="D6" s="8">
        <f>'Scenario Breakdown'!D32</f>
        <v/>
      </c>
      <c r="E6" t="inlineStr">
        <is>
          <t>5+ years</t>
        </is>
      </c>
      <c r="F6" t="inlineStr">
        <is>
          <t>Low-Med</t>
        </is>
      </c>
    </row>
    <row r="7">
      <c r="A7" t="inlineStr">
        <is>
          <t>Seller Finance</t>
        </is>
      </c>
      <c r="B7" s="13">
        <f>'Scenario Breakdown'!E27</f>
        <v/>
      </c>
      <c r="C7" s="13">
        <f>'Scenario Breakdown'!E30</f>
        <v/>
      </c>
      <c r="D7" s="8">
        <f>'Scenario Breakdown'!E32</f>
        <v/>
      </c>
      <c r="E7" t="inlineStr">
        <is>
          <t>Variable</t>
        </is>
      </c>
      <c r="F7" t="inlineStr">
        <is>
          <t>Medium</t>
        </is>
      </c>
    </row>
    <row r="10">
      <c r="A10" s="3" t="inlineStr">
        <is>
          <t>ADVANCED METRICS (Buy &amp; Hold Focus)</t>
        </is>
      </c>
    </row>
    <row r="11">
      <c r="A11" t="inlineStr">
        <is>
          <t>Debt Coverage Ratio (DCR)</t>
        </is>
      </c>
      <c r="B11" s="16">
        <f>('Scenario Breakdown'!D23*(1-'Scenario Breakdown'!D24)*12)/('Scenario Breakdown'!D26*12)</f>
        <v/>
      </c>
    </row>
    <row r="12">
      <c r="A12" t="inlineStr">
        <is>
          <t>Break-Even Rent</t>
        </is>
      </c>
      <c r="B12" s="6">
        <f>('Scenario Breakdown'!D26+'Deal Overview'!E12/12+'Deal Overview'!E13/12+'Deal Overview'!E14)/(1-'Scenario Breakdown'!D24)</f>
        <v/>
      </c>
    </row>
    <row r="13">
      <c r="A13" t="inlineStr">
        <is>
          <t>Gross Rent Multiplier</t>
        </is>
      </c>
      <c r="B13" s="16">
        <f>'Deal Overview'!B11/('Deal Overview'!E11*12)</f>
        <v/>
      </c>
    </row>
    <row r="14">
      <c r="A14" t="inlineStr">
        <is>
          <t>Capitalization Rate</t>
        </is>
      </c>
      <c r="B14" s="8">
        <f>'Deal Overview'!D20</f>
        <v/>
      </c>
    </row>
  </sheetData>
  <mergeCells count="2">
    <mergeCell ref="A1:F1"/>
    <mergeCell ref="A10:F10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WHAT-IF SENSITIVITY ANALYSIS</t>
        </is>
      </c>
    </row>
    <row r="2">
      <c r="A2" s="11" t="inlineStr">
        <is>
          <t>Test different scenarios by adjusting yellow input cells. See immediate impact on returns.</t>
        </is>
      </c>
    </row>
    <row r="4">
      <c r="A4" s="3" t="inlineStr">
        <is>
          <t>RENT SENSITIVITY ANALYSIS</t>
        </is>
      </c>
    </row>
    <row r="5">
      <c r="A5" s="3" t="inlineStr">
        <is>
          <t>Monthly Rent Scenario</t>
        </is>
      </c>
      <c r="B5" s="3" t="inlineStr">
        <is>
          <t>Annual NOI</t>
        </is>
      </c>
      <c r="C5" s="3" t="inlineStr">
        <is>
          <t>Cash Flow</t>
        </is>
      </c>
      <c r="D5" s="3" t="inlineStr">
        <is>
          <t>Cash-on-Cash</t>
        </is>
      </c>
      <c r="E5" s="3" t="inlineStr">
        <is>
          <t>Cap Rate</t>
        </is>
      </c>
    </row>
    <row r="6">
      <c r="A6" t="inlineStr">
        <is>
          <t>Base Rent -20%</t>
        </is>
      </c>
      <c r="B6" s="13">
        <f>='Deal Overview'!E11*0.8*12-'Deal Overview'!E12-'Deal Overview'!E13-'Deal Overview'!E14*12</f>
        <v/>
      </c>
      <c r="C6" s="13">
        <f>B6-'Scenario Breakdown'!D26*12</f>
        <v/>
      </c>
      <c r="D6" s="17">
        <f>C6/('Scenario Breakdown'!D27)</f>
        <v/>
      </c>
      <c r="E6" s="17">
        <f>B6/'Deal Overview'!B11</f>
        <v/>
      </c>
    </row>
    <row r="7">
      <c r="A7" t="inlineStr">
        <is>
          <t>Base Rent -10%</t>
        </is>
      </c>
      <c r="B7" s="13">
        <f>='Deal Overview'!E11*0.9*12-'Deal Overview'!E12-'Deal Overview'!E13-'Deal Overview'!E14*12</f>
        <v/>
      </c>
      <c r="C7" s="13">
        <f>B7-'Scenario Breakdown'!D26*12</f>
        <v/>
      </c>
      <c r="D7" s="17">
        <f>C7/('Scenario Breakdown'!D27)</f>
        <v/>
      </c>
      <c r="E7" s="17">
        <f>B7/'Deal Overview'!B11</f>
        <v/>
      </c>
    </row>
    <row r="8">
      <c r="A8" t="inlineStr">
        <is>
          <t>Current Base Rent</t>
        </is>
      </c>
      <c r="B8" s="13">
        <f>='Deal Overview'!E11*1.0*12-'Deal Overview'!E12-'Deal Overview'!E13-'Deal Overview'!E14*12</f>
        <v/>
      </c>
      <c r="C8" s="13">
        <f>B8-'Scenario Breakdown'!D26*12</f>
        <v/>
      </c>
      <c r="D8" s="17">
        <f>C8/('Scenario Breakdown'!D27)</f>
        <v/>
      </c>
      <c r="E8" s="17">
        <f>B8/'Deal Overview'!B11</f>
        <v/>
      </c>
    </row>
    <row r="9">
      <c r="A9" t="inlineStr">
        <is>
          <t>Base Rent +10%</t>
        </is>
      </c>
      <c r="B9" s="13">
        <f>='Deal Overview'!E11*1.1*12-'Deal Overview'!E12-'Deal Overview'!E13-'Deal Overview'!E14*12</f>
        <v/>
      </c>
      <c r="C9" s="13">
        <f>B9-'Scenario Breakdown'!D26*12</f>
        <v/>
      </c>
      <c r="D9" s="17">
        <f>C9/('Scenario Breakdown'!D27)</f>
        <v/>
      </c>
      <c r="E9" s="17">
        <f>B9/'Deal Overview'!B11</f>
        <v/>
      </c>
    </row>
    <row r="10">
      <c r="A10" t="inlineStr">
        <is>
          <t>Base Rent +20%</t>
        </is>
      </c>
      <c r="B10" s="13">
        <f>='Deal Overview'!E11*1.2*12-'Deal Overview'!E12-'Deal Overview'!E13-'Deal Overview'!E14*12</f>
        <v/>
      </c>
      <c r="C10" s="13">
        <f>B10-'Scenario Breakdown'!D26*12</f>
        <v/>
      </c>
      <c r="D10" s="17">
        <f>C10/('Scenario Breakdown'!D27)</f>
        <v/>
      </c>
      <c r="E10" s="17">
        <f>B10/'Deal Overview'!B11</f>
        <v/>
      </c>
    </row>
    <row r="12">
      <c r="A12" s="3" t="inlineStr">
        <is>
          <t>INTEREST RATE SENSITIVITY</t>
        </is>
      </c>
    </row>
    <row r="13">
      <c r="A13" s="3" t="inlineStr">
        <is>
          <t>Interest Rate</t>
        </is>
      </c>
      <c r="B13" s="3" t="inlineStr">
        <is>
          <t>Monthly Payment</t>
        </is>
      </c>
      <c r="C13" s="3" t="inlineStr">
        <is>
          <t>Annual Debt Service</t>
        </is>
      </c>
      <c r="D13" s="3" t="inlineStr">
        <is>
          <t>Cash Flow</t>
        </is>
      </c>
      <c r="E13" s="3" t="inlineStr">
        <is>
          <t>DCR</t>
        </is>
      </c>
    </row>
    <row r="14">
      <c r="A14" t="inlineStr">
        <is>
          <t>4.5%</t>
        </is>
      </c>
      <c r="B14" s="13">
        <f>='Scenario Breakdown'!D28*(0.045/12*POWER(1+0.045/12,='Scenario Breakdown'!D21*12))/(POWER(1+0.045/12,='Scenario Breakdown'!D21*12)-1)</f>
        <v/>
      </c>
      <c r="C14" s="13">
        <f>B14*12</f>
        <v/>
      </c>
      <c r="D14" s="13">
        <f>'Deal Overview'!E11*12-'Deal Overview'!E12-'Deal Overview'!E13-'Deal Overview'!E14*12-C14</f>
        <v/>
      </c>
      <c r="E14" s="18">
        <f>('Deal Overview'!E11*12-'Deal Overview'!E12-'Deal Overview'!E13-'Deal Overview'!E14*12)/C14</f>
        <v/>
      </c>
    </row>
    <row r="15">
      <c r="A15" t="inlineStr">
        <is>
          <t>5.5%</t>
        </is>
      </c>
      <c r="B15" s="13">
        <f>='Scenario Breakdown'!D28*(0.055/12*POWER(1+0.055/12,='Scenario Breakdown'!D21*12))/(POWER(1+0.055/12,='Scenario Breakdown'!D21*12)-1)</f>
        <v/>
      </c>
      <c r="C15" s="13">
        <f>B15*12</f>
        <v/>
      </c>
      <c r="D15" s="13">
        <f>'Deal Overview'!E11*12-'Deal Overview'!E12-'Deal Overview'!E13-'Deal Overview'!E14*12-C15</f>
        <v/>
      </c>
      <c r="E15" s="18">
        <f>('Deal Overview'!E11*12-'Deal Overview'!E12-'Deal Overview'!E13-'Deal Overview'!E14*12)/C15</f>
        <v/>
      </c>
    </row>
    <row r="16">
      <c r="A16" t="inlineStr">
        <is>
          <t>6.5%</t>
        </is>
      </c>
      <c r="B16" s="13">
        <f>='Scenario Breakdown'!D28*(0.065/12*POWER(1+0.065/12,='Scenario Breakdown'!D21*12))/(POWER(1+0.065/12,='Scenario Breakdown'!D21*12)-1)</f>
        <v/>
      </c>
      <c r="C16" s="13">
        <f>B16*12</f>
        <v/>
      </c>
      <c r="D16" s="13">
        <f>'Deal Overview'!E11*12-'Deal Overview'!E12-'Deal Overview'!E13-'Deal Overview'!E14*12-C16</f>
        <v/>
      </c>
      <c r="E16" s="18">
        <f>('Deal Overview'!E11*12-'Deal Overview'!E12-'Deal Overview'!E13-'Deal Overview'!E14*12)/C16</f>
        <v/>
      </c>
    </row>
    <row r="17">
      <c r="A17" t="inlineStr">
        <is>
          <t>7.5%</t>
        </is>
      </c>
      <c r="B17" s="13">
        <f>='Scenario Breakdown'!D28*(0.075/12*POWER(1+0.075/12,='Scenario Breakdown'!D21*12))/(POWER(1+0.075/12,='Scenario Breakdown'!D21*12)-1)</f>
        <v/>
      </c>
      <c r="C17" s="13">
        <f>B17*12</f>
        <v/>
      </c>
      <c r="D17" s="13">
        <f>'Deal Overview'!E11*12-'Deal Overview'!E12-'Deal Overview'!E13-'Deal Overview'!E14*12-C17</f>
        <v/>
      </c>
      <c r="E17" s="18">
        <f>('Deal Overview'!E11*12-'Deal Overview'!E12-'Deal Overview'!E13-'Deal Overview'!E14*12)/C17</f>
        <v/>
      </c>
    </row>
    <row r="18">
      <c r="A18" t="inlineStr">
        <is>
          <t>8.5%</t>
        </is>
      </c>
      <c r="B18" s="13">
        <f>='Scenario Breakdown'!D28*(0.085/12*POWER(1+0.085/12,='Scenario Breakdown'!D21*12))/(POWER(1+0.085/12,='Scenario Breakdown'!D21*12)-1)</f>
        <v/>
      </c>
      <c r="C18" s="13">
        <f>B18*12</f>
        <v/>
      </c>
      <c r="D18" s="13">
        <f>'Deal Overview'!E11*12-'Deal Overview'!E12-'Deal Overview'!E13-'Deal Overview'!E14*12-C18</f>
        <v/>
      </c>
      <c r="E18" s="18">
        <f>('Deal Overview'!E11*12-'Deal Overview'!E12-'Deal Overview'!E13-'Deal Overview'!E14*12)/C18</f>
        <v/>
      </c>
    </row>
    <row r="20">
      <c r="A20" s="3" t="inlineStr">
        <is>
          <t>VACANCY RATE IMPACT</t>
        </is>
      </c>
    </row>
    <row r="21">
      <c r="A21" s="3" t="inlineStr">
        <is>
          <t>Vacancy Rate</t>
        </is>
      </c>
      <c r="B21" s="3" t="inlineStr">
        <is>
          <t>Effective Annual Rent</t>
        </is>
      </c>
      <c r="C21" s="3" t="inlineStr">
        <is>
          <t>Annual Cash Flow</t>
        </is>
      </c>
      <c r="D21" s="3" t="inlineStr">
        <is>
          <t>Impact vs 0%</t>
        </is>
      </c>
    </row>
    <row r="22">
      <c r="A22" t="inlineStr">
        <is>
          <t>0% (Optimistic)</t>
        </is>
      </c>
      <c r="B22" s="13">
        <f>'Deal Overview'!E11*12*(1-0.0)</f>
        <v/>
      </c>
      <c r="C22" s="13">
        <f>B22-'Deal Overview'!E12-'Deal Overview'!E13-'Deal Overview'!E14*12-'Scenario Breakdown'!D26*12</f>
        <v/>
      </c>
      <c r="D22" s="13">
        <f>C22-C18</f>
        <v/>
      </c>
    </row>
    <row r="23">
      <c r="A23" t="inlineStr">
        <is>
          <t>5% (Good)</t>
        </is>
      </c>
      <c r="B23" s="13">
        <f>'Deal Overview'!E11*12*(1-0.05)</f>
        <v/>
      </c>
      <c r="C23" s="13">
        <f>B23-'Deal Overview'!E12-'Deal Overview'!E13-'Deal Overview'!E14*12-'Scenario Breakdown'!D26*12</f>
        <v/>
      </c>
      <c r="D23" s="13">
        <f>C23-C19</f>
        <v/>
      </c>
    </row>
    <row r="24">
      <c r="A24" t="inlineStr">
        <is>
          <t>8% (Average)</t>
        </is>
      </c>
      <c r="B24" s="13">
        <f>'Deal Overview'!E11*12*(1-0.08)</f>
        <v/>
      </c>
      <c r="C24" s="13">
        <f>B24-'Deal Overview'!E12-'Deal Overview'!E13-'Deal Overview'!E14*12-'Scenario Breakdown'!D26*12</f>
        <v/>
      </c>
      <c r="D24" s="13">
        <f>C24-C20</f>
        <v/>
      </c>
    </row>
    <row r="25">
      <c r="A25" t="inlineStr">
        <is>
          <t>10% (Conservative)</t>
        </is>
      </c>
      <c r="B25" s="13">
        <f>'Deal Overview'!E11*12*(1-0.1)</f>
        <v/>
      </c>
      <c r="C25" s="13">
        <f>B25-'Deal Overview'!E12-'Deal Overview'!E13-'Deal Overview'!E14*12-'Scenario Breakdown'!D26*12</f>
        <v/>
      </c>
      <c r="D25" s="13">
        <f>C25-C21</f>
        <v/>
      </c>
    </row>
    <row r="26">
      <c r="A26" t="inlineStr">
        <is>
          <t>15% (Poor)</t>
        </is>
      </c>
      <c r="B26" s="13">
        <f>'Deal Overview'!E11*12*(1-0.15)</f>
        <v/>
      </c>
      <c r="C26" s="13">
        <f>B26-'Deal Overview'!E12-'Deal Overview'!E13-'Deal Overview'!E14*12-'Scenario Breakdown'!D26*12</f>
        <v/>
      </c>
      <c r="D26" s="13">
        <f>C26-C22</f>
        <v/>
      </c>
    </row>
  </sheetData>
  <mergeCells count="5">
    <mergeCell ref="A2:F2"/>
    <mergeCell ref="A1:F1"/>
    <mergeCell ref="A12:F12"/>
    <mergeCell ref="A4:F4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15" customWidth="1" min="5" max="5"/>
  </cols>
  <sheetData>
    <row r="1">
      <c r="A1" s="10" t="inlineStr">
        <is>
          <t>RISK &amp; EXPENSE ANALYSIS</t>
        </is>
      </c>
    </row>
    <row r="3">
      <c r="A3" s="3" t="inlineStr">
        <is>
          <t>MONTHLY OPERATING EXPENSES</t>
        </is>
      </c>
    </row>
    <row r="4">
      <c r="A4" s="3" t="inlineStr">
        <is>
          <t>Expense Category</t>
        </is>
      </c>
      <c r="B4" s="3" t="inlineStr">
        <is>
          <t>Monthly Amount</t>
        </is>
      </c>
      <c r="C4" s="3" t="inlineStr">
        <is>
          <t>Annual Amount</t>
        </is>
      </c>
      <c r="D4" s="3" t="inlineStr">
        <is>
          <t>% of Rent</t>
        </is>
      </c>
    </row>
    <row r="5">
      <c r="A5" t="inlineStr">
        <is>
          <t>Property Tax</t>
        </is>
      </c>
      <c r="B5" s="13">
        <f>'Deal Overview'!E12/12</f>
        <v/>
      </c>
      <c r="C5" s="13">
        <f>'Deal Overview'!E12</f>
        <v/>
      </c>
      <c r="D5" s="19">
        <f>B5/'Deal Overview'!E11</f>
        <v/>
      </c>
    </row>
    <row r="6">
      <c r="A6" t="inlineStr">
        <is>
          <t>Insurance</t>
        </is>
      </c>
      <c r="B6" s="13">
        <f>'Deal Overview'!E13/12</f>
        <v/>
      </c>
      <c r="C6" s="13">
        <f>'Deal Overview'!E13</f>
        <v/>
      </c>
      <c r="D6" s="19">
        <f>B6/'Deal Overview'!E11</f>
        <v/>
      </c>
    </row>
    <row r="7">
      <c r="A7" t="inlineStr">
        <is>
          <t>HOA/Condo Fees</t>
        </is>
      </c>
      <c r="B7" s="13">
        <f>'Deal Overview'!E14</f>
        <v/>
      </c>
      <c r="C7" s="13">
        <f>'Deal Overview'!E14*12</f>
        <v/>
      </c>
      <c r="D7" s="19">
        <f>B7/'Deal Overview'!E11</f>
        <v/>
      </c>
    </row>
    <row r="8">
      <c r="A8" t="inlineStr">
        <is>
          <t>Property Management (8%)</t>
        </is>
      </c>
      <c r="B8" s="13">
        <f>'Deal Overview'!E11*0.08</f>
        <v/>
      </c>
      <c r="C8" s="13">
        <f>'Deal Overview'!E11*0.08*12</f>
        <v/>
      </c>
      <c r="D8" s="19">
        <f>B8/'Deal Overview'!E11</f>
        <v/>
      </c>
    </row>
    <row r="9">
      <c r="A9" t="inlineStr">
        <is>
          <t>Maintenance Reserve (5%)</t>
        </is>
      </c>
      <c r="B9" s="13">
        <f>'Deal Overview'!E11*0.05</f>
        <v/>
      </c>
      <c r="C9" s="13">
        <f>'Deal Overview'!E11*0.05*12</f>
        <v/>
      </c>
      <c r="D9" s="19">
        <f>B9/'Deal Overview'!E11</f>
        <v/>
      </c>
    </row>
    <row r="10">
      <c r="A10" t="inlineStr">
        <is>
          <t>Vacancy Reserve (8%)</t>
        </is>
      </c>
      <c r="B10" s="13">
        <f>'Deal Overview'!E11*0.08</f>
        <v/>
      </c>
      <c r="C10" s="13">
        <f>'Deal Overview'!E11*0.08*12</f>
        <v/>
      </c>
      <c r="D10" s="19">
        <f>B10/'Deal Overview'!E11</f>
        <v/>
      </c>
    </row>
    <row r="11">
      <c r="A11" t="inlineStr">
        <is>
          <t>CapEx Reserve (5%)</t>
        </is>
      </c>
      <c r="B11" s="13">
        <f>'Deal Overview'!E11*0.05</f>
        <v/>
      </c>
      <c r="C11" s="13">
        <f>'Deal Overview'!E11*0.05*12</f>
        <v/>
      </c>
      <c r="D11" s="19">
        <f>B11/'Deal Overview'!E11</f>
        <v/>
      </c>
    </row>
    <row r="12">
      <c r="A12" t="inlineStr">
        <is>
          <t>Utilities (if owner-paid)</t>
        </is>
      </c>
      <c r="B12" s="5" t="n">
        <v>0</v>
      </c>
      <c r="C12" s="13" t="n">
        <v>0</v>
      </c>
      <c r="D12" s="19">
        <f>B12/'Deal Overview'!E11</f>
        <v/>
      </c>
    </row>
    <row r="13">
      <c r="A13" t="inlineStr">
        <is>
          <t>Lawn/Snow/Pest</t>
        </is>
      </c>
      <c r="B13" s="5" t="n">
        <v>100</v>
      </c>
      <c r="C13" s="13" t="n">
        <v>1200</v>
      </c>
      <c r="D13" s="19">
        <f>B13/'Deal Overview'!E11</f>
        <v/>
      </c>
    </row>
    <row r="14">
      <c r="A14" s="20" t="inlineStr">
        <is>
          <t>TOTAL MONTHLY EXPENSES</t>
        </is>
      </c>
      <c r="B14" s="6">
        <f>SUM(B5:B13)</f>
        <v/>
      </c>
      <c r="C14" s="6">
        <f>SUM(C5:C13)</f>
        <v/>
      </c>
      <c r="D14" s="7">
        <f>B14/'Deal Overview'!E11</f>
        <v/>
      </c>
    </row>
    <row r="16">
      <c r="A16" s="3" t="inlineStr">
        <is>
          <t>RECOMMENDED CASH RESERVES</t>
        </is>
      </c>
    </row>
    <row r="17">
      <c r="A17" s="3" t="inlineStr">
        <is>
          <t>Reserve Type</t>
        </is>
      </c>
      <c r="B17" s="3" t="inlineStr">
        <is>
          <t>Months</t>
        </is>
      </c>
      <c r="C17" s="3" t="inlineStr">
        <is>
          <t>Amount Needed</t>
        </is>
      </c>
    </row>
    <row r="18">
      <c r="A18" t="inlineStr">
        <is>
          <t>Operating Reserve</t>
        </is>
      </c>
      <c r="B18" t="n">
        <v>6</v>
      </c>
      <c r="C18" s="13">
        <f>B7*6</f>
        <v/>
      </c>
    </row>
    <row r="19">
      <c r="A19" t="inlineStr">
        <is>
          <t>CapEx Reserve</t>
        </is>
      </c>
      <c r="B19" t="n">
        <v>12</v>
      </c>
      <c r="C19" s="13">
        <f>'Deal Overview'!E11*0.05*12</f>
        <v/>
      </c>
    </row>
    <row r="20">
      <c r="A20" t="inlineStr">
        <is>
          <t>Vacancy Buffer</t>
        </is>
      </c>
      <c r="B20" t="n">
        <v>3</v>
      </c>
      <c r="C20" s="13">
        <f>'Deal Overview'!E11*3</f>
        <v/>
      </c>
    </row>
    <row r="21">
      <c r="A21" s="20" t="inlineStr">
        <is>
          <t>TOTAL RESERVES</t>
        </is>
      </c>
      <c r="C21" s="6">
        <f>SUM(C18:C20)</f>
        <v/>
      </c>
    </row>
    <row r="23">
      <c r="A23" s="3" t="inlineStr">
        <is>
          <t>RISK SCORE CALCULATOR</t>
        </is>
      </c>
    </row>
    <row r="24">
      <c r="A24" s="3" t="inlineStr">
        <is>
          <t>Risk Factor</t>
        </is>
      </c>
      <c r="B24" s="3" t="inlineStr">
        <is>
          <t>Current Value</t>
        </is>
      </c>
      <c r="C24" s="3" t="inlineStr">
        <is>
          <t>Risk Level</t>
        </is>
      </c>
      <c r="D24" s="3" t="inlineStr">
        <is>
          <t>Weight</t>
        </is>
      </c>
      <c r="E24" s="3" t="inlineStr">
        <is>
          <t>Score</t>
        </is>
      </c>
    </row>
    <row r="25">
      <c r="A25" t="inlineStr">
        <is>
          <t>Loan-to-Value (LTV)</t>
        </is>
      </c>
      <c r="B25" s="19">
        <f>'Scenario Breakdown'!D28/'Deal Overview'!B12</f>
        <v/>
      </c>
      <c r="C25" s="21">
        <f>IF(B{row}&lt;0.65,"Low",IF(B{row}&lt;0.80,"Medium","High"))</f>
        <v/>
      </c>
      <c r="D25" s="22" t="n">
        <v>0.35</v>
      </c>
      <c r="E25" s="21">
        <f>IF(C25="Low",1,IF(C25="Medium",5,9))*D25</f>
        <v/>
      </c>
    </row>
    <row r="26">
      <c r="A26" t="inlineStr">
        <is>
          <t>Debt Coverage Ratio</t>
        </is>
      </c>
      <c r="B26" s="18">
        <f>('Deal Overview'!E11*12-'Deal Overview'!E12-'Deal Overview'!E13)/('Scenario Breakdown'!D26*12)</f>
        <v/>
      </c>
      <c r="C26" s="21">
        <f>IF(B26&gt;1.25,"Low",IF(B26&gt;1.0,"Medium","High"))</f>
        <v/>
      </c>
      <c r="D26" s="22" t="n">
        <v>0.3</v>
      </c>
      <c r="E26" s="21">
        <f>IF(C26="Low",1,IF(C26="Medium",5,9))*D26</f>
        <v/>
      </c>
    </row>
    <row r="27">
      <c r="A27" t="inlineStr">
        <is>
          <t>Cash Reserves/PITI</t>
        </is>
      </c>
      <c r="B27" s="23">
        <f>C20/B10</f>
        <v/>
      </c>
      <c r="C27" s="21">
        <f>IF(B27&gt;6,"Low",IF(B27&gt;3,"Medium","High"))</f>
        <v/>
      </c>
      <c r="D27" s="22" t="n">
        <v>0.2</v>
      </c>
      <c r="E27" s="21">
        <f>IF(C27="Low",1,IF(C27="Medium",5,9))*D27</f>
        <v/>
      </c>
    </row>
    <row r="28">
      <c r="A28" t="inlineStr">
        <is>
          <t>Expense Ratio</t>
        </is>
      </c>
      <c r="B28" s="19">
        <f>D11</f>
        <v/>
      </c>
      <c r="C28" s="21">
        <f>IF(B28&lt;0.45,"Low",IF(B28&lt;0.55,"Medium","High"))</f>
        <v/>
      </c>
      <c r="D28" s="22" t="n">
        <v>0.15</v>
      </c>
      <c r="E28" s="21">
        <f>IF(C28="Low",1,IF(C28="Medium",5,9))*D28</f>
        <v/>
      </c>
    </row>
    <row r="29">
      <c r="A29" s="20" t="inlineStr">
        <is>
          <t>OVERALL RISK SCORE</t>
        </is>
      </c>
      <c r="E29" s="24">
        <f>SUM(E25:E28)</f>
        <v/>
      </c>
    </row>
    <row r="30">
      <c r="A30" s="25" t="inlineStr">
        <is>
          <t>RISK RATING</t>
        </is>
      </c>
      <c r="E30" s="26">
        <f>IF(E29&lt;3,"LOW RISK",IF(E29&lt;6,"MODERATE RISK","HIGH RISK"))</f>
        <v/>
      </c>
    </row>
  </sheetData>
  <mergeCells count="6">
    <mergeCell ref="A16:E16"/>
    <mergeCell ref="A30:D30"/>
    <mergeCell ref="A29:D29"/>
    <mergeCell ref="A1:E1"/>
    <mergeCell ref="A23:E2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2025-10-30T14:50:35Z</dcterms:created>
  <dcterms:modified xmlns:dcterms="http://purl.org/dc/terms/" xmlns:xsi="http://www.w3.org/2001/XMLSchema-instance" xsi:type="dcterms:W3CDTF">2025-10-30T14:50:35Z</dcterms:modified>
</cp:coreProperties>
</file>